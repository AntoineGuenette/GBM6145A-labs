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oineguenette/Desktop/Scolaire/Baccalauréat/Programmation/SH26/GBM6145A-labs/data_old/"/>
    </mc:Choice>
  </mc:AlternateContent>
  <xr:revisionPtr revIDLastSave="0" documentId="13_ncr:1_{48144ED7-31EB-2140-8155-665A7AFB5AA6}" xr6:coauthVersionLast="47" xr6:coauthVersionMax="47" xr10:uidLastSave="{00000000-0000-0000-0000-000000000000}"/>
  <bookViews>
    <workbookView xWindow="0" yWindow="660" windowWidth="29400" windowHeight="18460" xr2:uid="{EAEFBA44-36ED-A94D-9173-71D26F0B6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" i="1" l="1"/>
  <c r="AF26" i="1"/>
  <c r="AE26" i="1"/>
  <c r="C26" i="1"/>
  <c r="B26" i="1"/>
  <c r="B3" i="1"/>
  <c r="B21" i="1"/>
  <c r="AF24" i="1"/>
  <c r="AE25" i="1"/>
  <c r="AE24" i="1"/>
  <c r="F25" i="1"/>
  <c r="AF25" i="1" s="1"/>
  <c r="B25" i="1"/>
  <c r="C25" i="1" s="1"/>
  <c r="AC24" i="1"/>
  <c r="AB24" i="1"/>
  <c r="B24" i="1"/>
  <c r="C24" i="1" s="1"/>
  <c r="AF4" i="1"/>
  <c r="AF5" i="1"/>
  <c r="AF6" i="1"/>
  <c r="AF7" i="1"/>
  <c r="AF8" i="1"/>
  <c r="AF9" i="1"/>
  <c r="AF20" i="1" s="1"/>
  <c r="AF10" i="1"/>
  <c r="AF18" i="1" s="1"/>
  <c r="AF11" i="1"/>
  <c r="AF12" i="1"/>
  <c r="AF13" i="1"/>
  <c r="AF14" i="1"/>
  <c r="AF15" i="1"/>
  <c r="AF3" i="1"/>
  <c r="AE18" i="1"/>
  <c r="AE4" i="1"/>
  <c r="AE17" i="1" s="1"/>
  <c r="AE5" i="1"/>
  <c r="AE6" i="1"/>
  <c r="AE7" i="1"/>
  <c r="AE8" i="1"/>
  <c r="AE9" i="1"/>
  <c r="AE10" i="1"/>
  <c r="AE11" i="1"/>
  <c r="AE12" i="1"/>
  <c r="AE13" i="1"/>
  <c r="AE14" i="1"/>
  <c r="AE15" i="1"/>
  <c r="Y21" i="1"/>
  <c r="Z21" i="1"/>
  <c r="AA21" i="1"/>
  <c r="AB21" i="1"/>
  <c r="AC21" i="1"/>
  <c r="O21" i="1"/>
  <c r="P21" i="1"/>
  <c r="Q21" i="1"/>
  <c r="R21" i="1"/>
  <c r="S21" i="1"/>
  <c r="T21" i="1"/>
  <c r="U21" i="1"/>
  <c r="V21" i="1"/>
  <c r="W21" i="1"/>
  <c r="X21" i="1"/>
  <c r="E21" i="1"/>
  <c r="F21" i="1"/>
  <c r="H21" i="1"/>
  <c r="I21" i="1"/>
  <c r="J21" i="1"/>
  <c r="K21" i="1"/>
  <c r="L21" i="1"/>
  <c r="M21" i="1"/>
  <c r="N21" i="1"/>
  <c r="V20" i="1"/>
  <c r="W20" i="1"/>
  <c r="X20" i="1"/>
  <c r="Y20" i="1"/>
  <c r="Z20" i="1"/>
  <c r="AA20" i="1"/>
  <c r="AB20" i="1"/>
  <c r="AC20" i="1"/>
  <c r="M20" i="1"/>
  <c r="N20" i="1"/>
  <c r="O20" i="1"/>
  <c r="P20" i="1"/>
  <c r="Q20" i="1"/>
  <c r="R20" i="1"/>
  <c r="S20" i="1"/>
  <c r="T20" i="1"/>
  <c r="U20" i="1"/>
  <c r="E20" i="1"/>
  <c r="F20" i="1"/>
  <c r="H20" i="1"/>
  <c r="I20" i="1"/>
  <c r="J20" i="1"/>
  <c r="K20" i="1"/>
  <c r="L20" i="1"/>
  <c r="T19" i="1"/>
  <c r="L19" i="1"/>
  <c r="Q19" i="1"/>
  <c r="R19" i="1"/>
  <c r="F19" i="1"/>
  <c r="H19" i="1"/>
  <c r="I19" i="1"/>
  <c r="H18" i="1"/>
  <c r="I18" i="1"/>
  <c r="J18" i="1"/>
  <c r="J19" i="1" s="1"/>
  <c r="K18" i="1"/>
  <c r="K19" i="1" s="1"/>
  <c r="L18" i="1"/>
  <c r="M18" i="1"/>
  <c r="M19" i="1" s="1"/>
  <c r="N18" i="1"/>
  <c r="N19" i="1" s="1"/>
  <c r="O18" i="1"/>
  <c r="O19" i="1" s="1"/>
  <c r="P18" i="1"/>
  <c r="P19" i="1" s="1"/>
  <c r="Q18" i="1"/>
  <c r="R18" i="1"/>
  <c r="S18" i="1"/>
  <c r="T18" i="1"/>
  <c r="U18" i="1"/>
  <c r="U19" i="1" s="1"/>
  <c r="V18" i="1"/>
  <c r="W18" i="1"/>
  <c r="X18" i="1"/>
  <c r="Y18" i="1"/>
  <c r="Z18" i="1"/>
  <c r="AA18" i="1"/>
  <c r="AB18" i="1"/>
  <c r="AB19" i="1" s="1"/>
  <c r="AC18" i="1"/>
  <c r="H17" i="1"/>
  <c r="I17" i="1"/>
  <c r="J17" i="1"/>
  <c r="K17" i="1"/>
  <c r="L17" i="1"/>
  <c r="M17" i="1"/>
  <c r="N17" i="1"/>
  <c r="O17" i="1"/>
  <c r="P17" i="1"/>
  <c r="Q17" i="1"/>
  <c r="R17" i="1"/>
  <c r="S17" i="1"/>
  <c r="S19" i="1" s="1"/>
  <c r="T17" i="1"/>
  <c r="U17" i="1"/>
  <c r="V17" i="1"/>
  <c r="V19" i="1" s="1"/>
  <c r="W17" i="1"/>
  <c r="X17" i="1"/>
  <c r="Y17" i="1"/>
  <c r="Z17" i="1"/>
  <c r="AA17" i="1"/>
  <c r="AB17" i="1"/>
  <c r="AC17" i="1"/>
  <c r="AC19" i="1" s="1"/>
  <c r="B15" i="1"/>
  <c r="B14" i="1"/>
  <c r="C14" i="1" s="1"/>
  <c r="B13" i="1"/>
  <c r="C13" i="1" s="1"/>
  <c r="E18" i="1"/>
  <c r="E19" i="1" s="1"/>
  <c r="F18" i="1"/>
  <c r="E17" i="1"/>
  <c r="F17" i="1"/>
  <c r="B12" i="1"/>
  <c r="C12" i="1" s="1"/>
  <c r="B11" i="1"/>
  <c r="B10" i="1"/>
  <c r="C10" i="1" s="1"/>
  <c r="B9" i="1"/>
  <c r="B8" i="1"/>
  <c r="C8" i="1" s="1"/>
  <c r="B7" i="1"/>
  <c r="B6" i="1"/>
  <c r="C6" i="1" s="1"/>
  <c r="B5" i="1"/>
  <c r="B4" i="1"/>
  <c r="C4" i="1"/>
  <c r="C5" i="1"/>
  <c r="C7" i="1"/>
  <c r="C9" i="1"/>
  <c r="C11" i="1"/>
  <c r="C15" i="1"/>
  <c r="C3" i="1" l="1"/>
  <c r="C20" i="1" s="1"/>
  <c r="AE19" i="1"/>
  <c r="AE20" i="1"/>
  <c r="AE21" i="1"/>
  <c r="B20" i="1"/>
  <c r="Z19" i="1"/>
  <c r="AF17" i="1"/>
  <c r="AF19" i="1" s="1"/>
  <c r="AF21" i="1"/>
  <c r="AA19" i="1"/>
  <c r="X19" i="1"/>
  <c r="W19" i="1"/>
  <c r="Y19" i="1"/>
  <c r="C17" i="1"/>
  <c r="C18" i="1"/>
  <c r="C19" i="1" s="1"/>
  <c r="C21" i="1" l="1"/>
</calcChain>
</file>

<file path=xl/sharedStrings.xml><?xml version="1.0" encoding="utf-8"?>
<sst xmlns="http://schemas.openxmlformats.org/spreadsheetml/2006/main" count="121" uniqueCount="91">
  <si>
    <t>Genre</t>
  </si>
  <si>
    <t>Code</t>
  </si>
  <si>
    <t>Naissance</t>
  </si>
  <si>
    <t>Moy</t>
  </si>
  <si>
    <t>Std</t>
  </si>
  <si>
    <t>Taille (cm)</t>
  </si>
  <si>
    <t>Masse (kg)</t>
  </si>
  <si>
    <t>Age (ans)</t>
  </si>
  <si>
    <t>F</t>
  </si>
  <si>
    <t>M</t>
  </si>
  <si>
    <t>?</t>
  </si>
  <si>
    <t>chaussure-2</t>
  </si>
  <si>
    <t>Commentaires</t>
  </si>
  <si>
    <t>Left Mid-Arm Width</t>
  </si>
  <si>
    <t>Right Mid-Arm Width</t>
  </si>
  <si>
    <t>Left Hum Length</t>
  </si>
  <si>
    <t>Right Hum Lenght</t>
  </si>
  <si>
    <t>Left For Lenght</t>
  </si>
  <si>
    <t>Right For Length</t>
  </si>
  <si>
    <t>Left Mid-For Width</t>
  </si>
  <si>
    <t>Right Mid-For Width</t>
  </si>
  <si>
    <t>Sho-Sho Ext Length</t>
  </si>
  <si>
    <t>Left Elb Width</t>
  </si>
  <si>
    <t>Right Elb Width</t>
  </si>
  <si>
    <t>Left Spi to Sca</t>
  </si>
  <si>
    <t>Right Spi to Sca</t>
  </si>
  <si>
    <t>Left Spi to Sho</t>
  </si>
  <si>
    <t>Right Spi to Sho</t>
  </si>
  <si>
    <t>Left Sho Height</t>
  </si>
  <si>
    <t>Right Sho Height</t>
  </si>
  <si>
    <t>Left Sho to back poles</t>
  </si>
  <si>
    <t>Right Sho to back poles</t>
  </si>
  <si>
    <t>chair back ext width</t>
  </si>
  <si>
    <t>Arm+For Weight</t>
  </si>
  <si>
    <t>For Weight</t>
  </si>
  <si>
    <t>Dominant Limb</t>
  </si>
  <si>
    <t>Right</t>
  </si>
  <si>
    <t>Left</t>
  </si>
  <si>
    <t>Right?</t>
  </si>
  <si>
    <t>Std/Moy (%)</t>
  </si>
  <si>
    <t>Min</t>
  </si>
  <si>
    <t>Max</t>
  </si>
  <si>
    <t>MA/MTOT (%)</t>
  </si>
  <si>
    <t>MF/MTOT (%)</t>
  </si>
  <si>
    <t>1_DESA</t>
  </si>
  <si>
    <t>1_DAMF</t>
  </si>
  <si>
    <t>2_CASR</t>
  </si>
  <si>
    <t>3_BEEZ</t>
  </si>
  <si>
    <t>3_ROBD</t>
  </si>
  <si>
    <t>4_ZERM</t>
  </si>
  <si>
    <t>4_PAIL</t>
  </si>
  <si>
    <t>5_STEJ</t>
  </si>
  <si>
    <t>5_MATO</t>
  </si>
  <si>
    <t>1_SCHP FAIT</t>
  </si>
  <si>
    <t>5_ROSA FAIT</t>
  </si>
  <si>
    <t>3_MICA FAIT</t>
  </si>
  <si>
    <t>B&amp;B WoutOrth</t>
  </si>
  <si>
    <t>B&amp;B WithOrth</t>
  </si>
  <si>
    <t>B&amp;B WoutSens</t>
  </si>
  <si>
    <t>Jamar WithOrth</t>
  </si>
  <si>
    <t>Jamar WoutSens</t>
  </si>
  <si>
    <t>30.5_6.5_4.5_8.0</t>
  </si>
  <si>
    <t>34.0_7.0_5.0_5.0</t>
  </si>
  <si>
    <t>40.0_12.5_5.0_5.5</t>
  </si>
  <si>
    <t>30.0_8.5_3.0_3.0_5.5</t>
  </si>
  <si>
    <t>26.0_7.0_3.5_5.5</t>
  </si>
  <si>
    <t>Idem mais préhensio pus sur le côté</t>
  </si>
  <si>
    <t>5 doigts 45°_pinch 2 doigts</t>
  </si>
  <si>
    <t>5 doigts 45°_pinch 3 doigts</t>
  </si>
  <si>
    <t>Préhension Objets WoutOrth</t>
  </si>
  <si>
    <t>Préhension Objets WithOrth</t>
  </si>
  <si>
    <t>Jamar WoutOrth (kg)</t>
  </si>
  <si>
    <t>34.0_7.0_5.0_5.7</t>
  </si>
  <si>
    <t>27.0_7.0_3.0_5.5</t>
  </si>
  <si>
    <t>N/A</t>
  </si>
  <si>
    <t>32.5_7.25_2.5_5.0</t>
  </si>
  <si>
    <t>5 doigts côté_pinch 45° 3 doigts</t>
  </si>
  <si>
    <t>3-4 doigts 30°_pinch 45° 3 doigts</t>
  </si>
  <si>
    <t>2_CARF - absence non justifiée</t>
  </si>
  <si>
    <t>4_STAV FAIT - absence non justifiée</t>
  </si>
  <si>
    <t>32.0_7.0_3.0_3.5</t>
  </si>
  <si>
    <t>35.0_7.5_4.0_3.5</t>
  </si>
  <si>
    <t>3dgtsHoriz_4dgts45°_5dgts45°_3dgts45°</t>
  </si>
  <si>
    <t>4dgtsHoriz_4dgts4Hor_5dgtsHor_3dgts55°</t>
  </si>
  <si>
    <t>2_BLAS</t>
  </si>
  <si>
    <t>2_DEMY</t>
  </si>
  <si>
    <t>-</t>
  </si>
  <si>
    <t>44.0_7.0_3.0_5.5</t>
  </si>
  <si>
    <t>45.0_7.0_5.0_7.0</t>
  </si>
  <si>
    <t>3dgtsHoriz_4dgts55°_5dgts45°_2dgts45°</t>
  </si>
  <si>
    <t>3dgtsH45°_3dgts55°_5dgtsVertic_2dgts75°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</si>
</sst>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4" fillId="0" borderId="0" xfId="0" applyFont="1"/>
    <xf numFmtId="0" fontId="1" fillId="5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30F5F-DD01-4F4D-AD36-76A6C49244A0}">
  <dimension ref="A2:AO29"/>
  <sheetViews>
    <sheetView tabSelected="1" zoomScale="125" zoomScaleNormal="253" workbookViewId="0">
      <selection activeCell="G15" sqref="G15"/>
    </sheetView>
  </sheetViews>
  <sheetFormatPr baseColWidth="10" defaultRowHeight="16" x14ac:dyDescent="0.2"/>
  <cols>
    <col min="1" max="1" width="25.83203125" customWidth="1"/>
    <col min="2" max="2" width="16.33203125" customWidth="1"/>
    <col min="3" max="3" width="8.6640625" customWidth="1"/>
    <col min="4" max="4" width="6" customWidth="1"/>
    <col min="5" max="5" width="9.5" customWidth="1"/>
    <col min="6" max="6" width="9.83203125" customWidth="1"/>
    <col min="7" max="7" width="13.6640625" customWidth="1"/>
    <col min="8" max="8" width="14.83203125" bestFit="1" customWidth="1"/>
    <col min="9" max="9" width="15.83203125" bestFit="1" customWidth="1"/>
    <col min="10" max="10" width="13.5" bestFit="1" customWidth="1"/>
    <col min="11" max="11" width="14.5" bestFit="1" customWidth="1"/>
    <col min="12" max="12" width="17.33203125" bestFit="1" customWidth="1"/>
    <col min="13" max="13" width="18.5" bestFit="1" customWidth="1"/>
    <col min="14" max="14" width="16.5" bestFit="1" customWidth="1"/>
    <col min="15" max="15" width="17.83203125" bestFit="1" customWidth="1"/>
    <col min="16" max="16" width="17.33203125" bestFit="1" customWidth="1"/>
    <col min="17" max="17" width="12.83203125" bestFit="1" customWidth="1"/>
    <col min="18" max="18" width="13.83203125" bestFit="1" customWidth="1"/>
    <col min="19" max="19" width="12.83203125" bestFit="1" customWidth="1"/>
    <col min="20" max="20" width="13.83203125" bestFit="1" customWidth="1"/>
    <col min="21" max="21" width="13.1640625" bestFit="1" customWidth="1"/>
    <col min="22" max="22" width="14.1640625" bestFit="1" customWidth="1"/>
    <col min="23" max="23" width="13.83203125" bestFit="1" customWidth="1"/>
    <col min="24" max="24" width="15" bestFit="1" customWidth="1"/>
    <col min="25" max="25" width="19.5" bestFit="1" customWidth="1"/>
    <col min="26" max="26" width="20.5" bestFit="1" customWidth="1"/>
    <col min="27" max="27" width="17.6640625" bestFit="1" customWidth="1"/>
    <col min="28" max="28" width="14.5" customWidth="1"/>
    <col min="29" max="29" width="12.6640625" bestFit="1" customWidth="1"/>
    <col min="30" max="30" width="13.83203125" bestFit="1" customWidth="1"/>
    <col min="31" max="32" width="12.6640625" bestFit="1" customWidth="1"/>
    <col min="34" max="34" width="12.5" customWidth="1"/>
    <col min="35" max="35" width="11.83203125" customWidth="1"/>
    <col min="36" max="36" width="12.83203125" customWidth="1"/>
    <col min="37" max="37" width="16.6640625" customWidth="1"/>
    <col min="38" max="38" width="17.33203125" customWidth="1"/>
    <col min="39" max="39" width="15.6640625" customWidth="1"/>
    <col min="40" max="40" width="33.1640625" customWidth="1"/>
    <col min="41" max="41" width="23" customWidth="1"/>
  </cols>
  <sheetData>
    <row r="2" spans="1:41" x14ac:dyDescent="0.2">
      <c r="A2" s="1" t="s">
        <v>1</v>
      </c>
      <c r="B2" s="1" t="s">
        <v>2</v>
      </c>
      <c r="C2" s="1" t="s">
        <v>7</v>
      </c>
      <c r="D2" s="1" t="s">
        <v>0</v>
      </c>
      <c r="E2" s="1" t="s">
        <v>5</v>
      </c>
      <c r="F2" s="1" t="s">
        <v>6</v>
      </c>
      <c r="G2" s="1" t="s">
        <v>12</v>
      </c>
      <c r="H2" s="1" t="s">
        <v>15</v>
      </c>
      <c r="I2" s="9" t="s">
        <v>16</v>
      </c>
      <c r="J2" s="1" t="s">
        <v>17</v>
      </c>
      <c r="K2" s="9" t="s">
        <v>18</v>
      </c>
      <c r="L2" s="1" t="s">
        <v>13</v>
      </c>
      <c r="M2" s="9" t="s">
        <v>14</v>
      </c>
      <c r="N2" s="1" t="s">
        <v>19</v>
      </c>
      <c r="O2" s="9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42</v>
      </c>
      <c r="AF2" s="1" t="s">
        <v>43</v>
      </c>
      <c r="AG2" s="1"/>
      <c r="AH2" s="1" t="s">
        <v>56</v>
      </c>
      <c r="AI2" s="1" t="s">
        <v>57</v>
      </c>
      <c r="AJ2" s="1" t="s">
        <v>58</v>
      </c>
      <c r="AK2" s="1" t="s">
        <v>71</v>
      </c>
      <c r="AL2" s="1" t="s">
        <v>59</v>
      </c>
      <c r="AM2" s="1" t="s">
        <v>60</v>
      </c>
      <c r="AN2" s="1" t="s">
        <v>69</v>
      </c>
      <c r="AO2" s="1" t="s">
        <v>70</v>
      </c>
    </row>
    <row r="3" spans="1:41" x14ac:dyDescent="0.2">
      <c r="A3" s="2" t="s">
        <v>53</v>
      </c>
      <c r="B3">
        <f>2002 + 5/12</f>
        <v>2002.4166666666667</v>
      </c>
      <c r="C3">
        <f>2025.2-B3</f>
        <v>22.783333333333303</v>
      </c>
      <c r="D3" t="s">
        <v>8</v>
      </c>
      <c r="E3">
        <v>165</v>
      </c>
      <c r="F3">
        <v>59</v>
      </c>
      <c r="H3">
        <v>26</v>
      </c>
      <c r="I3" s="2">
        <v>26.6</v>
      </c>
      <c r="J3">
        <v>22</v>
      </c>
      <c r="K3" s="2">
        <v>22.75</v>
      </c>
      <c r="L3" s="2">
        <v>25.5</v>
      </c>
      <c r="M3" s="2">
        <v>26</v>
      </c>
      <c r="N3" s="2">
        <v>19.5</v>
      </c>
      <c r="O3" s="2">
        <v>20.25</v>
      </c>
      <c r="P3" s="2">
        <v>38</v>
      </c>
      <c r="Q3" s="2">
        <v>5.7</v>
      </c>
      <c r="R3" s="2">
        <v>5.45</v>
      </c>
      <c r="S3" s="2">
        <v>7.25</v>
      </c>
      <c r="T3" s="2">
        <v>8</v>
      </c>
      <c r="U3" s="2">
        <v>20.5</v>
      </c>
      <c r="V3" s="2">
        <v>20.25</v>
      </c>
      <c r="W3">
        <v>53.75</v>
      </c>
      <c r="X3">
        <v>53.25</v>
      </c>
      <c r="Y3">
        <v>11</v>
      </c>
      <c r="Z3">
        <v>13</v>
      </c>
      <c r="AA3">
        <v>42</v>
      </c>
      <c r="AB3" s="2">
        <v>2.8</v>
      </c>
      <c r="AC3" s="2">
        <v>0.5</v>
      </c>
      <c r="AD3" t="s">
        <v>36</v>
      </c>
      <c r="AE3">
        <f>AE24</f>
        <v>5.2243589743589736</v>
      </c>
      <c r="AF3">
        <f>100*AC3/F3</f>
        <v>0.84745762711864403</v>
      </c>
      <c r="AH3">
        <v>57</v>
      </c>
      <c r="AI3">
        <v>55</v>
      </c>
      <c r="AJ3">
        <v>80</v>
      </c>
      <c r="AK3" t="s">
        <v>61</v>
      </c>
      <c r="AL3" t="s">
        <v>62</v>
      </c>
      <c r="AM3" t="s">
        <v>63</v>
      </c>
      <c r="AN3" t="s">
        <v>67</v>
      </c>
      <c r="AO3" t="s">
        <v>67</v>
      </c>
    </row>
    <row r="4" spans="1:41" x14ac:dyDescent="0.2">
      <c r="A4" t="s">
        <v>44</v>
      </c>
      <c r="B4">
        <f>2001+9/12</f>
        <v>2001.75</v>
      </c>
      <c r="C4">
        <f t="shared" ref="C4:C15" si="0">2025.2-B4</f>
        <v>23.450000000000045</v>
      </c>
      <c r="D4" t="s">
        <v>8</v>
      </c>
      <c r="E4">
        <v>165</v>
      </c>
      <c r="F4">
        <v>59</v>
      </c>
      <c r="H4">
        <v>24.75</v>
      </c>
      <c r="I4" s="3">
        <v>24.8</v>
      </c>
      <c r="J4">
        <v>22.9</v>
      </c>
      <c r="K4" s="2">
        <v>23.1</v>
      </c>
      <c r="L4" s="2">
        <v>25.5</v>
      </c>
      <c r="M4" s="2">
        <v>26</v>
      </c>
      <c r="N4" s="2">
        <v>20.3</v>
      </c>
      <c r="O4" s="2">
        <v>20.9</v>
      </c>
      <c r="P4" s="2">
        <v>42</v>
      </c>
      <c r="Q4" s="2">
        <v>6.3</v>
      </c>
      <c r="R4" s="2">
        <v>6.3</v>
      </c>
      <c r="S4" s="3">
        <v>10.050000000000001</v>
      </c>
      <c r="T4" s="3">
        <v>9.85</v>
      </c>
      <c r="U4" s="2">
        <v>21.05</v>
      </c>
      <c r="V4" s="2">
        <v>21.05</v>
      </c>
      <c r="W4">
        <v>49.35</v>
      </c>
      <c r="X4">
        <v>50</v>
      </c>
      <c r="Y4">
        <v>14</v>
      </c>
      <c r="Z4">
        <v>12</v>
      </c>
      <c r="AA4">
        <v>42</v>
      </c>
      <c r="AB4" s="3">
        <v>3.4</v>
      </c>
      <c r="AC4" s="2">
        <v>0.375</v>
      </c>
      <c r="AD4" t="s">
        <v>36</v>
      </c>
      <c r="AE4">
        <f t="shared" ref="AE4:AE15" si="1">100*AB4/F4</f>
        <v>5.7627118644067794</v>
      </c>
      <c r="AF4">
        <f t="shared" ref="AF4:AF15" si="2">100*AC4/F4</f>
        <v>0.63559322033898302</v>
      </c>
    </row>
    <row r="5" spans="1:41" x14ac:dyDescent="0.2">
      <c r="A5" t="s">
        <v>45</v>
      </c>
      <c r="B5">
        <f>2002+5/12</f>
        <v>2002.4166666666667</v>
      </c>
      <c r="C5">
        <f t="shared" si="0"/>
        <v>22.783333333333303</v>
      </c>
      <c r="D5" t="s">
        <v>8</v>
      </c>
      <c r="E5">
        <v>167.5</v>
      </c>
      <c r="F5">
        <v>57</v>
      </c>
      <c r="H5">
        <v>29</v>
      </c>
      <c r="I5" s="3">
        <v>29.1</v>
      </c>
      <c r="J5">
        <v>24.1</v>
      </c>
      <c r="K5" s="2">
        <v>24.45</v>
      </c>
      <c r="L5" s="2">
        <v>25.25</v>
      </c>
      <c r="M5" s="2">
        <v>25.8</v>
      </c>
      <c r="N5" s="2">
        <v>18.5</v>
      </c>
      <c r="O5" s="2">
        <v>18</v>
      </c>
      <c r="P5" s="2">
        <v>43.1</v>
      </c>
      <c r="Q5" s="2">
        <v>5.85</v>
      </c>
      <c r="R5" s="2">
        <v>5.8</v>
      </c>
      <c r="S5" s="2">
        <v>7.7</v>
      </c>
      <c r="T5" s="2">
        <v>8.8000000000000007</v>
      </c>
      <c r="U5" s="2">
        <v>22.5</v>
      </c>
      <c r="V5" s="2">
        <v>22.9</v>
      </c>
      <c r="W5">
        <v>52.25</v>
      </c>
      <c r="X5">
        <v>52</v>
      </c>
      <c r="Y5">
        <v>8</v>
      </c>
      <c r="Z5">
        <v>9</v>
      </c>
      <c r="AA5">
        <v>42</v>
      </c>
      <c r="AB5" s="3">
        <v>3.4</v>
      </c>
      <c r="AC5" s="2">
        <v>0.5</v>
      </c>
      <c r="AD5" t="s">
        <v>36</v>
      </c>
      <c r="AE5">
        <f t="shared" si="1"/>
        <v>5.9649122807017543</v>
      </c>
      <c r="AF5">
        <f t="shared" si="2"/>
        <v>0.8771929824561403</v>
      </c>
    </row>
    <row r="6" spans="1:41" x14ac:dyDescent="0.2">
      <c r="A6" s="4" t="s">
        <v>46</v>
      </c>
      <c r="B6">
        <f>1998+11/12</f>
        <v>1998.9166666666667</v>
      </c>
      <c r="C6">
        <f t="shared" si="0"/>
        <v>26.283333333333303</v>
      </c>
      <c r="D6" t="s">
        <v>9</v>
      </c>
      <c r="E6">
        <v>178</v>
      </c>
      <c r="F6">
        <v>98</v>
      </c>
      <c r="H6">
        <v>25</v>
      </c>
      <c r="I6" s="2">
        <v>24.25</v>
      </c>
      <c r="J6">
        <v>26.75</v>
      </c>
      <c r="K6" s="3">
        <v>26.75</v>
      </c>
      <c r="L6" s="4">
        <v>40.6</v>
      </c>
      <c r="M6" s="4">
        <v>41</v>
      </c>
      <c r="N6" s="4">
        <v>28</v>
      </c>
      <c r="O6" s="3">
        <v>28.5</v>
      </c>
      <c r="P6" s="3">
        <v>50</v>
      </c>
      <c r="Q6" s="3">
        <v>7.3</v>
      </c>
      <c r="R6" s="3">
        <v>7.45</v>
      </c>
      <c r="S6" s="4">
        <v>11.5</v>
      </c>
      <c r="T6" s="4">
        <v>10.75</v>
      </c>
      <c r="U6" s="4">
        <v>33.25</v>
      </c>
      <c r="V6" s="4">
        <v>34</v>
      </c>
      <c r="W6">
        <v>55</v>
      </c>
      <c r="X6">
        <v>54</v>
      </c>
      <c r="Y6">
        <v>14.75</v>
      </c>
      <c r="Z6">
        <v>15</v>
      </c>
      <c r="AA6">
        <v>39</v>
      </c>
      <c r="AB6" s="4">
        <v>6.7</v>
      </c>
      <c r="AC6" s="4">
        <v>0.95</v>
      </c>
      <c r="AD6" s="4" t="s">
        <v>37</v>
      </c>
      <c r="AE6">
        <f t="shared" si="1"/>
        <v>6.8367346938775508</v>
      </c>
      <c r="AF6">
        <f t="shared" si="2"/>
        <v>0.96938775510204078</v>
      </c>
    </row>
    <row r="7" spans="1:41" x14ac:dyDescent="0.2">
      <c r="A7" s="4" t="s">
        <v>84</v>
      </c>
      <c r="B7">
        <f>2001+4/12</f>
        <v>2001.3333333333333</v>
      </c>
      <c r="C7">
        <f t="shared" si="0"/>
        <v>23.866666666666788</v>
      </c>
      <c r="D7" t="s">
        <v>9</v>
      </c>
      <c r="E7">
        <v>188</v>
      </c>
      <c r="F7">
        <v>75</v>
      </c>
      <c r="H7">
        <v>29.5</v>
      </c>
      <c r="I7" s="3">
        <v>29.5</v>
      </c>
      <c r="J7">
        <v>30.25</v>
      </c>
      <c r="K7" s="4">
        <v>29.75</v>
      </c>
      <c r="L7" s="3">
        <v>31.45</v>
      </c>
      <c r="M7" s="3">
        <v>31.35</v>
      </c>
      <c r="N7" s="2">
        <v>24</v>
      </c>
      <c r="O7" s="4">
        <v>23.25</v>
      </c>
      <c r="P7" s="3">
        <v>45.25</v>
      </c>
      <c r="Q7" s="3">
        <v>7.35</v>
      </c>
      <c r="R7" s="3">
        <v>7.25</v>
      </c>
      <c r="S7" s="2">
        <v>8.5</v>
      </c>
      <c r="T7" s="2">
        <v>8.75</v>
      </c>
      <c r="U7" s="2">
        <v>27.5</v>
      </c>
      <c r="V7" s="2">
        <v>26.5</v>
      </c>
      <c r="W7">
        <v>47.5</v>
      </c>
      <c r="X7">
        <v>47</v>
      </c>
      <c r="Y7">
        <v>11</v>
      </c>
      <c r="Z7">
        <v>11.5</v>
      </c>
      <c r="AA7">
        <v>39</v>
      </c>
      <c r="AB7" s="4">
        <v>5.7</v>
      </c>
      <c r="AC7" s="3">
        <v>0.7</v>
      </c>
      <c r="AD7" t="s">
        <v>38</v>
      </c>
      <c r="AE7">
        <f t="shared" si="1"/>
        <v>7.6</v>
      </c>
      <c r="AF7">
        <f t="shared" si="2"/>
        <v>0.93333333333333335</v>
      </c>
    </row>
    <row r="8" spans="1:41" x14ac:dyDescent="0.2">
      <c r="A8" s="4" t="s">
        <v>85</v>
      </c>
      <c r="B8">
        <f>2000+11/12</f>
        <v>2000.9166666666667</v>
      </c>
      <c r="C8">
        <f t="shared" si="0"/>
        <v>24.283333333333303</v>
      </c>
      <c r="D8" t="s">
        <v>9</v>
      </c>
      <c r="E8">
        <v>188</v>
      </c>
      <c r="F8">
        <v>93</v>
      </c>
      <c r="H8">
        <v>31.75</v>
      </c>
      <c r="I8" s="3">
        <v>28.5</v>
      </c>
      <c r="J8">
        <v>30</v>
      </c>
      <c r="K8" s="4">
        <v>32</v>
      </c>
      <c r="L8" s="4">
        <v>34</v>
      </c>
      <c r="M8" s="3">
        <v>31.8</v>
      </c>
      <c r="N8" s="2">
        <v>23.35</v>
      </c>
      <c r="O8" s="4">
        <v>23.75</v>
      </c>
      <c r="P8" s="4">
        <v>54.5</v>
      </c>
      <c r="Q8" s="3">
        <v>7</v>
      </c>
      <c r="R8" s="3">
        <v>7.55</v>
      </c>
      <c r="S8" s="3">
        <v>10</v>
      </c>
      <c r="T8" s="3">
        <v>10</v>
      </c>
      <c r="U8" s="3">
        <v>30.5</v>
      </c>
      <c r="V8" s="3">
        <v>30</v>
      </c>
      <c r="W8">
        <v>52</v>
      </c>
      <c r="X8">
        <v>50.5</v>
      </c>
      <c r="Y8">
        <v>12</v>
      </c>
      <c r="Z8">
        <v>12</v>
      </c>
      <c r="AA8">
        <v>39</v>
      </c>
      <c r="AB8" s="4">
        <v>4.5999999999999996</v>
      </c>
      <c r="AC8" s="3">
        <v>0.86199999999999999</v>
      </c>
      <c r="AD8" s="4" t="s">
        <v>37</v>
      </c>
      <c r="AE8">
        <f t="shared" si="1"/>
        <v>4.9462365591397841</v>
      </c>
      <c r="AF8">
        <f t="shared" si="2"/>
        <v>0.92688172043010753</v>
      </c>
    </row>
    <row r="9" spans="1:41" x14ac:dyDescent="0.2">
      <c r="A9" t="s">
        <v>47</v>
      </c>
      <c r="B9">
        <f>1999+6.5/12</f>
        <v>1999.5416666666667</v>
      </c>
      <c r="C9">
        <f t="shared" si="0"/>
        <v>25.658333333333303</v>
      </c>
      <c r="D9" t="s">
        <v>8</v>
      </c>
      <c r="E9">
        <v>172</v>
      </c>
      <c r="F9">
        <v>70</v>
      </c>
      <c r="H9">
        <v>30.5</v>
      </c>
      <c r="I9" s="3">
        <v>30.55</v>
      </c>
      <c r="J9">
        <v>23.9</v>
      </c>
      <c r="K9" s="2">
        <v>23.95</v>
      </c>
      <c r="L9" s="4">
        <v>34.6</v>
      </c>
      <c r="M9" s="4">
        <v>34.6</v>
      </c>
      <c r="N9" s="2">
        <v>25.75</v>
      </c>
      <c r="O9" s="3">
        <v>25.15</v>
      </c>
      <c r="P9" s="2">
        <v>44.2</v>
      </c>
      <c r="Q9" s="3">
        <v>7.35</v>
      </c>
      <c r="R9" s="2">
        <v>6.5</v>
      </c>
      <c r="S9" s="3">
        <v>9.5</v>
      </c>
      <c r="T9" s="3">
        <v>9.5</v>
      </c>
      <c r="U9" s="3">
        <v>28.25</v>
      </c>
      <c r="V9" s="3">
        <v>29</v>
      </c>
      <c r="W9">
        <v>59</v>
      </c>
      <c r="X9">
        <v>59</v>
      </c>
      <c r="Y9">
        <v>12.25</v>
      </c>
      <c r="Z9">
        <v>12.2</v>
      </c>
      <c r="AA9">
        <v>39</v>
      </c>
      <c r="AB9" s="4">
        <v>5</v>
      </c>
      <c r="AC9" s="3">
        <v>0.72</v>
      </c>
      <c r="AD9" t="s">
        <v>36</v>
      </c>
      <c r="AE9">
        <f t="shared" si="1"/>
        <v>7.1428571428571432</v>
      </c>
      <c r="AF9">
        <f t="shared" si="2"/>
        <v>1.0285714285714285</v>
      </c>
    </row>
    <row r="10" spans="1:41" x14ac:dyDescent="0.2">
      <c r="A10" s="2" t="s">
        <v>55</v>
      </c>
      <c r="B10">
        <f>2001+2/12</f>
        <v>2001.1666666666667</v>
      </c>
      <c r="C10">
        <f t="shared" si="0"/>
        <v>24.033333333333303</v>
      </c>
      <c r="D10" t="s">
        <v>8</v>
      </c>
      <c r="E10">
        <v>171</v>
      </c>
      <c r="F10">
        <v>57</v>
      </c>
      <c r="H10">
        <v>27.75</v>
      </c>
      <c r="I10" s="2">
        <v>28.1</v>
      </c>
      <c r="J10">
        <v>23.5</v>
      </c>
      <c r="K10" s="2">
        <v>23.7</v>
      </c>
      <c r="L10" s="2">
        <v>23.75</v>
      </c>
      <c r="M10" s="2">
        <v>24.8</v>
      </c>
      <c r="N10" s="2">
        <v>23.75</v>
      </c>
      <c r="O10" s="2">
        <v>24.8</v>
      </c>
      <c r="P10" s="2">
        <v>39</v>
      </c>
      <c r="Q10" s="2">
        <v>5.95</v>
      </c>
      <c r="R10" s="2">
        <v>5.85</v>
      </c>
      <c r="S10" s="2">
        <v>8.0500000000000007</v>
      </c>
      <c r="T10" s="2">
        <v>7.85</v>
      </c>
      <c r="U10" s="2">
        <v>26.75</v>
      </c>
      <c r="V10" s="2">
        <v>26.5</v>
      </c>
      <c r="W10">
        <v>56.6</v>
      </c>
      <c r="X10">
        <v>54.25</v>
      </c>
      <c r="Y10">
        <v>8.25</v>
      </c>
      <c r="Z10">
        <v>12</v>
      </c>
      <c r="AA10">
        <v>39</v>
      </c>
      <c r="AB10" s="2">
        <v>2.65</v>
      </c>
      <c r="AC10" s="2">
        <v>0.5</v>
      </c>
      <c r="AD10" t="s">
        <v>36</v>
      </c>
      <c r="AE10">
        <f t="shared" si="1"/>
        <v>4.6491228070175437</v>
      </c>
      <c r="AF10">
        <f t="shared" si="2"/>
        <v>0.8771929824561403</v>
      </c>
      <c r="AH10">
        <v>68</v>
      </c>
      <c r="AI10">
        <v>63</v>
      </c>
      <c r="AJ10">
        <v>77</v>
      </c>
      <c r="AK10" t="s">
        <v>72</v>
      </c>
      <c r="AL10" t="s">
        <v>75</v>
      </c>
      <c r="AM10" t="s">
        <v>74</v>
      </c>
      <c r="AN10" t="s">
        <v>76</v>
      </c>
      <c r="AO10" t="s">
        <v>77</v>
      </c>
    </row>
    <row r="11" spans="1:41" x14ac:dyDescent="0.2">
      <c r="A11" t="s">
        <v>48</v>
      </c>
      <c r="B11">
        <f>1997+8/12</f>
        <v>1997.6666666666667</v>
      </c>
      <c r="C11">
        <f t="shared" si="0"/>
        <v>27.533333333333303</v>
      </c>
      <c r="D11" t="s">
        <v>9</v>
      </c>
      <c r="E11">
        <v>174</v>
      </c>
      <c r="F11">
        <v>84</v>
      </c>
      <c r="H11">
        <v>31.05</v>
      </c>
      <c r="I11" s="3">
        <v>30.5</v>
      </c>
      <c r="J11">
        <v>24.8</v>
      </c>
      <c r="K11" s="2">
        <v>25.15</v>
      </c>
      <c r="L11" s="3">
        <v>31.55</v>
      </c>
      <c r="M11" s="3">
        <v>31.8</v>
      </c>
      <c r="N11" s="2">
        <v>25</v>
      </c>
      <c r="O11" s="2">
        <v>24.55</v>
      </c>
      <c r="P11" s="2">
        <v>44.75</v>
      </c>
      <c r="Q11" s="3">
        <v>7.35</v>
      </c>
      <c r="R11" s="3">
        <v>6.9</v>
      </c>
      <c r="S11" s="4">
        <v>12</v>
      </c>
      <c r="T11" s="4">
        <v>11</v>
      </c>
      <c r="U11" s="3">
        <v>30.25</v>
      </c>
      <c r="V11" s="2">
        <v>27.8</v>
      </c>
      <c r="W11">
        <v>53.1</v>
      </c>
      <c r="X11">
        <v>52.05</v>
      </c>
      <c r="Y11">
        <v>13.25</v>
      </c>
      <c r="Z11">
        <v>14.25</v>
      </c>
      <c r="AA11">
        <v>39</v>
      </c>
      <c r="AB11" s="4">
        <v>5.5</v>
      </c>
      <c r="AC11" s="2">
        <v>0.5</v>
      </c>
      <c r="AD11" s="4" t="s">
        <v>37</v>
      </c>
      <c r="AE11">
        <f t="shared" si="1"/>
        <v>6.5476190476190474</v>
      </c>
      <c r="AF11">
        <f t="shared" si="2"/>
        <v>0.59523809523809523</v>
      </c>
    </row>
    <row r="12" spans="1:41" x14ac:dyDescent="0.2">
      <c r="A12" s="2" t="s">
        <v>49</v>
      </c>
      <c r="B12">
        <f>2002+7/12</f>
        <v>2002.5833333333333</v>
      </c>
      <c r="C12">
        <f t="shared" si="0"/>
        <v>22.616666666666788</v>
      </c>
      <c r="D12" t="s">
        <v>8</v>
      </c>
      <c r="E12">
        <v>167</v>
      </c>
      <c r="F12">
        <v>60</v>
      </c>
      <c r="G12" t="s">
        <v>10</v>
      </c>
      <c r="H12">
        <v>24.5</v>
      </c>
      <c r="I12" s="2">
        <v>25</v>
      </c>
      <c r="J12">
        <v>24</v>
      </c>
      <c r="K12" s="2">
        <v>24</v>
      </c>
      <c r="L12" s="2">
        <v>29.25</v>
      </c>
      <c r="M12" s="2">
        <v>29.5</v>
      </c>
      <c r="N12" s="2">
        <v>21.75</v>
      </c>
      <c r="O12" s="2">
        <v>21.5</v>
      </c>
      <c r="P12" s="2">
        <v>44.5</v>
      </c>
      <c r="Q12" s="2">
        <v>5.65</v>
      </c>
      <c r="R12" s="2">
        <v>5.75</v>
      </c>
      <c r="S12" s="2">
        <v>8.25</v>
      </c>
      <c r="T12" s="2">
        <v>8.5</v>
      </c>
      <c r="U12" s="2">
        <v>28</v>
      </c>
      <c r="V12" s="2">
        <v>27</v>
      </c>
      <c r="W12">
        <v>51.5</v>
      </c>
      <c r="X12">
        <v>50.5</v>
      </c>
      <c r="Y12">
        <v>9.5</v>
      </c>
      <c r="Z12">
        <v>10</v>
      </c>
      <c r="AA12">
        <v>41</v>
      </c>
      <c r="AB12" s="2">
        <v>2.5</v>
      </c>
      <c r="AC12" s="2">
        <v>0.42499999999999999</v>
      </c>
      <c r="AD12" s="3" t="s">
        <v>37</v>
      </c>
      <c r="AE12">
        <f t="shared" si="1"/>
        <v>4.166666666666667</v>
      </c>
      <c r="AF12">
        <f t="shared" si="2"/>
        <v>0.70833333333333337</v>
      </c>
    </row>
    <row r="13" spans="1:41" x14ac:dyDescent="0.2">
      <c r="A13" t="s">
        <v>50</v>
      </c>
      <c r="B13">
        <f>2002+11/12</f>
        <v>2002.9166666666667</v>
      </c>
      <c r="C13">
        <f t="shared" si="0"/>
        <v>22.283333333333303</v>
      </c>
      <c r="D13" t="s">
        <v>9</v>
      </c>
      <c r="E13">
        <v>185</v>
      </c>
      <c r="F13">
        <v>81</v>
      </c>
      <c r="H13">
        <v>29.5</v>
      </c>
      <c r="I13" s="3">
        <v>30</v>
      </c>
      <c r="J13">
        <v>27</v>
      </c>
      <c r="K13" s="3">
        <v>27</v>
      </c>
      <c r="L13" s="3">
        <v>33.5</v>
      </c>
      <c r="M13" s="4">
        <v>33.5</v>
      </c>
      <c r="N13" s="2">
        <v>24.5</v>
      </c>
      <c r="O13" s="2">
        <v>24.5</v>
      </c>
      <c r="P13" s="3">
        <v>51.5</v>
      </c>
      <c r="Q13" s="3">
        <v>7.05</v>
      </c>
      <c r="R13" s="3">
        <v>6.8</v>
      </c>
      <c r="S13" s="3">
        <v>9.75</v>
      </c>
      <c r="T13" s="3">
        <v>10</v>
      </c>
      <c r="U13" s="4">
        <v>31.5</v>
      </c>
      <c r="V13" s="4">
        <v>32</v>
      </c>
      <c r="W13">
        <v>53.5</v>
      </c>
      <c r="X13">
        <v>53</v>
      </c>
      <c r="Y13">
        <v>10.5</v>
      </c>
      <c r="Z13">
        <v>9.5</v>
      </c>
      <c r="AA13">
        <v>41</v>
      </c>
      <c r="AB13" s="3">
        <v>3.8</v>
      </c>
      <c r="AC13" s="2">
        <v>0.4</v>
      </c>
      <c r="AD13" t="s">
        <v>36</v>
      </c>
      <c r="AE13">
        <f t="shared" si="1"/>
        <v>4.6913580246913584</v>
      </c>
      <c r="AF13">
        <f t="shared" si="2"/>
        <v>0.49382716049382713</v>
      </c>
    </row>
    <row r="14" spans="1:41" ht="15" customHeight="1" x14ac:dyDescent="0.2">
      <c r="A14" s="2" t="s">
        <v>54</v>
      </c>
      <c r="B14">
        <f>2001+6.5/12</f>
        <v>2001.5416666666667</v>
      </c>
      <c r="C14">
        <f t="shared" si="0"/>
        <v>23.658333333333303</v>
      </c>
      <c r="D14" t="s">
        <v>8</v>
      </c>
      <c r="E14">
        <v>158</v>
      </c>
      <c r="F14">
        <v>52</v>
      </c>
      <c r="H14">
        <v>25.5</v>
      </c>
      <c r="I14" s="2">
        <v>25.5</v>
      </c>
      <c r="J14">
        <v>21</v>
      </c>
      <c r="K14" s="2">
        <v>23</v>
      </c>
      <c r="L14" s="2">
        <v>26.5</v>
      </c>
      <c r="M14" s="2">
        <v>27.5</v>
      </c>
      <c r="N14" s="2">
        <v>20.75</v>
      </c>
      <c r="O14" s="2">
        <v>21.5</v>
      </c>
      <c r="P14" s="2">
        <v>44</v>
      </c>
      <c r="Q14" s="2">
        <v>5.95</v>
      </c>
      <c r="R14" s="2">
        <v>5.85</v>
      </c>
      <c r="S14" s="2">
        <v>8.5</v>
      </c>
      <c r="T14" s="2">
        <v>9</v>
      </c>
      <c r="U14" s="2">
        <v>29</v>
      </c>
      <c r="V14" s="2">
        <v>27</v>
      </c>
      <c r="W14">
        <v>47</v>
      </c>
      <c r="X14">
        <v>46</v>
      </c>
      <c r="Y14">
        <v>10.5</v>
      </c>
      <c r="Z14">
        <v>10</v>
      </c>
      <c r="AA14">
        <v>41</v>
      </c>
      <c r="AB14" s="3">
        <v>3.55</v>
      </c>
      <c r="AC14" s="2">
        <v>0.45</v>
      </c>
      <c r="AD14" t="s">
        <v>36</v>
      </c>
      <c r="AE14">
        <f t="shared" si="1"/>
        <v>6.8269230769230766</v>
      </c>
      <c r="AF14">
        <f t="shared" si="2"/>
        <v>0.86538461538461542</v>
      </c>
      <c r="AH14">
        <v>76</v>
      </c>
      <c r="AI14">
        <v>71</v>
      </c>
      <c r="AJ14">
        <v>75</v>
      </c>
      <c r="AK14" t="s">
        <v>73</v>
      </c>
      <c r="AL14" t="s">
        <v>64</v>
      </c>
      <c r="AM14" t="s">
        <v>65</v>
      </c>
      <c r="AN14" t="s">
        <v>68</v>
      </c>
      <c r="AO14" t="s">
        <v>66</v>
      </c>
    </row>
    <row r="15" spans="1:41" x14ac:dyDescent="0.2">
      <c r="A15" t="s">
        <v>51</v>
      </c>
      <c r="B15">
        <f>1996+4/12</f>
        <v>1996.3333333333333</v>
      </c>
      <c r="C15">
        <f t="shared" si="0"/>
        <v>28.866666666666788</v>
      </c>
      <c r="D15" t="s">
        <v>9</v>
      </c>
      <c r="E15">
        <v>185</v>
      </c>
      <c r="F15">
        <v>98</v>
      </c>
      <c r="G15" t="s">
        <v>11</v>
      </c>
      <c r="H15">
        <v>29</v>
      </c>
      <c r="I15" s="3">
        <v>29</v>
      </c>
      <c r="J15">
        <v>26.5</v>
      </c>
      <c r="K15" s="3">
        <v>26.5</v>
      </c>
      <c r="L15" s="4">
        <v>35</v>
      </c>
      <c r="M15" s="4">
        <v>34.5</v>
      </c>
      <c r="N15" s="2">
        <v>25.5</v>
      </c>
      <c r="O15" s="3">
        <v>27</v>
      </c>
      <c r="P15" s="3">
        <v>50.5</v>
      </c>
      <c r="Q15" s="3">
        <v>7</v>
      </c>
      <c r="R15" s="3">
        <v>7.2</v>
      </c>
      <c r="S15" s="4">
        <v>11</v>
      </c>
      <c r="T15" s="4">
        <v>11</v>
      </c>
      <c r="U15" s="4">
        <v>32</v>
      </c>
      <c r="V15" s="4">
        <v>32</v>
      </c>
      <c r="W15">
        <v>55</v>
      </c>
      <c r="X15">
        <v>55.5</v>
      </c>
      <c r="Y15">
        <v>15.75</v>
      </c>
      <c r="Z15">
        <v>16.75</v>
      </c>
      <c r="AA15">
        <v>39.5</v>
      </c>
      <c r="AB15" s="3">
        <v>4.0999999999999996</v>
      </c>
      <c r="AC15" s="3">
        <v>0.8</v>
      </c>
      <c r="AD15" t="s">
        <v>38</v>
      </c>
      <c r="AE15">
        <f t="shared" si="1"/>
        <v>4.1836734693877542</v>
      </c>
      <c r="AF15">
        <f t="shared" si="2"/>
        <v>0.81632653061224492</v>
      </c>
    </row>
    <row r="17" spans="1:41" x14ac:dyDescent="0.2">
      <c r="A17" s="1" t="s">
        <v>3</v>
      </c>
      <c r="C17">
        <f>AVERAGE(C3:C15)</f>
        <v>24.46923076923078</v>
      </c>
      <c r="E17">
        <f t="shared" ref="E17:AF17" si="3">AVERAGE(E3:E15)</f>
        <v>174.11538461538461</v>
      </c>
      <c r="F17">
        <f t="shared" si="3"/>
        <v>72.538461538461533</v>
      </c>
      <c r="H17" s="3">
        <f t="shared" si="3"/>
        <v>27.984615384615385</v>
      </c>
      <c r="I17" s="3">
        <f t="shared" si="3"/>
        <v>27.799999999999997</v>
      </c>
      <c r="J17" s="3">
        <f t="shared" si="3"/>
        <v>25.130769230769236</v>
      </c>
      <c r="K17" s="3">
        <f t="shared" si="3"/>
        <v>25.54615384615385</v>
      </c>
      <c r="L17" s="3">
        <f t="shared" si="3"/>
        <v>30.496153846153845</v>
      </c>
      <c r="M17" s="3">
        <f t="shared" si="3"/>
        <v>30.626923076923081</v>
      </c>
      <c r="N17" s="3">
        <f t="shared" si="3"/>
        <v>23.126923076923074</v>
      </c>
      <c r="O17" s="3">
        <f t="shared" si="3"/>
        <v>23.357692307692311</v>
      </c>
      <c r="P17" s="3">
        <f t="shared" si="3"/>
        <v>45.484615384615381</v>
      </c>
      <c r="Q17" s="3">
        <f t="shared" si="3"/>
        <v>6.6000000000000005</v>
      </c>
      <c r="R17" s="3">
        <f t="shared" si="3"/>
        <v>6.5115384615384606</v>
      </c>
      <c r="S17" s="3">
        <f t="shared" si="3"/>
        <v>9.388461538461538</v>
      </c>
      <c r="T17" s="3">
        <f t="shared" si="3"/>
        <v>9.4615384615384617</v>
      </c>
      <c r="U17" s="3">
        <f t="shared" si="3"/>
        <v>27.773076923076925</v>
      </c>
      <c r="V17" s="3">
        <f t="shared" si="3"/>
        <v>27.384615384615383</v>
      </c>
      <c r="W17" s="3">
        <f t="shared" si="3"/>
        <v>52.734615384615388</v>
      </c>
      <c r="X17" s="3">
        <f t="shared" si="3"/>
        <v>52.080769230769228</v>
      </c>
      <c r="Y17" s="3">
        <f t="shared" si="3"/>
        <v>11.596153846153847</v>
      </c>
      <c r="Z17" s="3">
        <f t="shared" si="3"/>
        <v>12.092307692307692</v>
      </c>
      <c r="AA17" s="3">
        <f t="shared" si="3"/>
        <v>40.192307692307693</v>
      </c>
      <c r="AB17" s="3">
        <f t="shared" si="3"/>
        <v>4.1307692307692303</v>
      </c>
      <c r="AC17" s="3">
        <f t="shared" si="3"/>
        <v>0.590923076923077</v>
      </c>
      <c r="AE17">
        <f t="shared" si="3"/>
        <v>5.7340903544344188</v>
      </c>
      <c r="AF17">
        <f t="shared" si="3"/>
        <v>0.81344006037453331</v>
      </c>
    </row>
    <row r="18" spans="1:41" x14ac:dyDescent="0.2">
      <c r="A18" s="1" t="s">
        <v>4</v>
      </c>
      <c r="C18">
        <f>STDEV(C3:C15)</f>
        <v>2.0332604284954514</v>
      </c>
      <c r="E18">
        <f t="shared" ref="E18:AF18" si="4">STDEV(E3:E15)</f>
        <v>9.8829690338013769</v>
      </c>
      <c r="F18">
        <f t="shared" si="4"/>
        <v>16.7312849905767</v>
      </c>
      <c r="H18">
        <f t="shared" si="4"/>
        <v>2.5533788574638878</v>
      </c>
      <c r="I18">
        <f t="shared" si="4"/>
        <v>2.28153822380136</v>
      </c>
      <c r="J18">
        <f t="shared" si="4"/>
        <v>2.8339120826708197</v>
      </c>
      <c r="K18">
        <f t="shared" si="4"/>
        <v>2.7956410667964851</v>
      </c>
      <c r="L18">
        <f t="shared" si="4"/>
        <v>5.0250398646205472</v>
      </c>
      <c r="M18">
        <f t="shared" si="4"/>
        <v>4.6639850353808221</v>
      </c>
      <c r="N18">
        <f t="shared" si="4"/>
        <v>2.783179790022523</v>
      </c>
      <c r="O18">
        <f t="shared" si="4"/>
        <v>2.87517000612181</v>
      </c>
      <c r="P18">
        <f t="shared" si="4"/>
        <v>4.8675962845889362</v>
      </c>
      <c r="Q18">
        <f t="shared" si="4"/>
        <v>0.70178344238089463</v>
      </c>
      <c r="R18">
        <f t="shared" si="4"/>
        <v>0.72719605510764229</v>
      </c>
      <c r="S18">
        <f t="shared" si="4"/>
        <v>1.4977975283386753</v>
      </c>
      <c r="T18">
        <f t="shared" si="4"/>
        <v>1.0778361513842336</v>
      </c>
      <c r="U18">
        <f t="shared" si="4"/>
        <v>4.1244502353149768</v>
      </c>
      <c r="V18">
        <f t="shared" si="4"/>
        <v>4.1732473674278792</v>
      </c>
      <c r="W18">
        <f t="shared" si="4"/>
        <v>3.418722020932714</v>
      </c>
      <c r="X18">
        <f t="shared" si="4"/>
        <v>3.443504662255354</v>
      </c>
      <c r="Y18">
        <f t="shared" si="4"/>
        <v>2.3794661112020421</v>
      </c>
      <c r="Z18">
        <f t="shared" si="4"/>
        <v>2.2556268672150956</v>
      </c>
      <c r="AA18">
        <f t="shared" si="4"/>
        <v>1.315587028960544</v>
      </c>
      <c r="AB18">
        <f t="shared" si="4"/>
        <v>1.2926939669959374</v>
      </c>
      <c r="AC18">
        <f t="shared" si="4"/>
        <v>0.19109834359061525</v>
      </c>
      <c r="AE18">
        <f t="shared" si="4"/>
        <v>1.176076526803747</v>
      </c>
      <c r="AF18">
        <f t="shared" si="4"/>
        <v>0.15871322557006118</v>
      </c>
    </row>
    <row r="19" spans="1:41" x14ac:dyDescent="0.2">
      <c r="A19" s="1" t="s">
        <v>39</v>
      </c>
      <c r="C19">
        <f>100*C18/C17</f>
        <v>8.3094578970263608</v>
      </c>
      <c r="E19">
        <f t="shared" ref="E19:J19" si="5">100*E18/E17</f>
        <v>5.6761032665967708</v>
      </c>
      <c r="F19" s="5">
        <f t="shared" si="5"/>
        <v>23.065398184252082</v>
      </c>
      <c r="H19">
        <f t="shared" si="5"/>
        <v>9.1242235148517157</v>
      </c>
      <c r="I19">
        <f t="shared" si="5"/>
        <v>8.206972028062447</v>
      </c>
      <c r="J19">
        <f t="shared" si="5"/>
        <v>11.276662710352204</v>
      </c>
      <c r="K19">
        <f>100*K18/K17</f>
        <v>10.943491077493015</v>
      </c>
      <c r="L19">
        <f t="shared" ref="L19" si="6">100*L18/L17</f>
        <v>16.47761842352557</v>
      </c>
      <c r="M19">
        <f t="shared" ref="M19" si="7">100*M18/M17</f>
        <v>15.228382634673032</v>
      </c>
      <c r="N19">
        <f t="shared" ref="N19" si="8">100*N18/N17</f>
        <v>12.034371285645369</v>
      </c>
      <c r="O19">
        <f t="shared" ref="O19" si="9">100*O18/O17</f>
        <v>12.309306793869101</v>
      </c>
      <c r="P19">
        <f t="shared" ref="P19" si="10">100*P18/P17</f>
        <v>10.701632284738064</v>
      </c>
      <c r="Q19">
        <f t="shared" ref="Q19" si="11">100*Q18/Q17</f>
        <v>10.633082460316585</v>
      </c>
      <c r="R19">
        <f t="shared" ref="R19" si="12">100*R18/R17</f>
        <v>11.167807107382576</v>
      </c>
      <c r="S19">
        <f>100*S18/S17</f>
        <v>15.953599236708545</v>
      </c>
      <c r="T19">
        <f t="shared" ref="T19" si="13">100*T18/T17</f>
        <v>11.391764201621982</v>
      </c>
      <c r="U19">
        <f t="shared" ref="U19" si="14">100*U18/U17</f>
        <v>14.850534014428664</v>
      </c>
      <c r="V19">
        <f t="shared" ref="V19" si="15">100*V18/V17</f>
        <v>15.239386454090571</v>
      </c>
      <c r="W19">
        <f t="shared" ref="W19" si="16">100*W18/W17</f>
        <v>6.4828803547699341</v>
      </c>
      <c r="X19">
        <f t="shared" ref="X19" si="17">100*X18/X17</f>
        <v>6.6118544582112992</v>
      </c>
      <c r="Y19">
        <f>100*Y18/Y17</f>
        <v>20.519442418326069</v>
      </c>
      <c r="Z19">
        <f t="shared" ref="Z19" si="18">100*Z18/Z17</f>
        <v>18.653402845926365</v>
      </c>
      <c r="AA19">
        <f t="shared" ref="AA19" si="19">100*AA18/AA17</f>
        <v>3.2732308854520711</v>
      </c>
      <c r="AB19">
        <f t="shared" ref="AB19" si="20">100*AB18/AB17</f>
        <v>31.294267357443559</v>
      </c>
      <c r="AC19">
        <f>100*AC18/AC17</f>
        <v>32.338954265529786</v>
      </c>
      <c r="AE19">
        <f t="shared" ref="AE19:AF19" si="21">100*AE18/AE17</f>
        <v>20.510254532250897</v>
      </c>
      <c r="AF19">
        <f t="shared" si="21"/>
        <v>19.511360861301153</v>
      </c>
    </row>
    <row r="20" spans="1:41" x14ac:dyDescent="0.2">
      <c r="A20" s="1" t="s">
        <v>40</v>
      </c>
      <c r="B20">
        <f>MIN(B3:B15)</f>
        <v>1996.3333333333333</v>
      </c>
      <c r="C20">
        <f t="shared" ref="C20:AF20" si="22">MIN(C3:C15)</f>
        <v>22.283333333333303</v>
      </c>
      <c r="E20">
        <f t="shared" si="22"/>
        <v>158</v>
      </c>
      <c r="F20">
        <f t="shared" si="22"/>
        <v>52</v>
      </c>
      <c r="H20" s="2">
        <f t="shared" si="22"/>
        <v>24.5</v>
      </c>
      <c r="I20" s="2">
        <f t="shared" si="22"/>
        <v>24.25</v>
      </c>
      <c r="J20" s="2">
        <f t="shared" si="22"/>
        <v>21</v>
      </c>
      <c r="K20" s="2">
        <f t="shared" si="22"/>
        <v>22.75</v>
      </c>
      <c r="L20" s="2">
        <f t="shared" si="22"/>
        <v>23.75</v>
      </c>
      <c r="M20" s="2">
        <f>MIN(M3:M15)</f>
        <v>24.8</v>
      </c>
      <c r="N20" s="2">
        <f t="shared" si="22"/>
        <v>18.5</v>
      </c>
      <c r="O20" s="2">
        <f t="shared" si="22"/>
        <v>18</v>
      </c>
      <c r="P20" s="2">
        <f t="shared" si="22"/>
        <v>38</v>
      </c>
      <c r="Q20" s="2">
        <f t="shared" si="22"/>
        <v>5.65</v>
      </c>
      <c r="R20" s="2">
        <f t="shared" si="22"/>
        <v>5.45</v>
      </c>
      <c r="S20" s="2">
        <f t="shared" si="22"/>
        <v>7.25</v>
      </c>
      <c r="T20" s="2">
        <f t="shared" si="22"/>
        <v>7.85</v>
      </c>
      <c r="U20" s="2">
        <f t="shared" si="22"/>
        <v>20.5</v>
      </c>
      <c r="V20" s="2">
        <f>MIN(V3:V15)</f>
        <v>20.25</v>
      </c>
      <c r="W20" s="2">
        <f t="shared" si="22"/>
        <v>47</v>
      </c>
      <c r="X20" s="2">
        <f t="shared" si="22"/>
        <v>46</v>
      </c>
      <c r="Y20" s="2">
        <f t="shared" si="22"/>
        <v>8</v>
      </c>
      <c r="Z20" s="2">
        <f t="shared" si="22"/>
        <v>9</v>
      </c>
      <c r="AA20" s="2">
        <f t="shared" si="22"/>
        <v>39</v>
      </c>
      <c r="AB20" s="7">
        <f t="shared" si="22"/>
        <v>2.5</v>
      </c>
      <c r="AC20" s="7">
        <f t="shared" si="22"/>
        <v>0.375</v>
      </c>
      <c r="AD20" s="6"/>
      <c r="AE20" s="6">
        <f t="shared" si="22"/>
        <v>4.166666666666667</v>
      </c>
      <c r="AF20" s="6">
        <f t="shared" si="22"/>
        <v>0.49382716049382713</v>
      </c>
    </row>
    <row r="21" spans="1:41" x14ac:dyDescent="0.2">
      <c r="A21" s="1" t="s">
        <v>41</v>
      </c>
      <c r="B21">
        <f>MAX(B3:B15)</f>
        <v>2002.9166666666667</v>
      </c>
      <c r="C21">
        <f t="shared" ref="C21:AF21" si="23">MAX(C3:C15)</f>
        <v>28.866666666666788</v>
      </c>
      <c r="E21">
        <f t="shared" si="23"/>
        <v>188</v>
      </c>
      <c r="F21">
        <f t="shared" si="23"/>
        <v>98</v>
      </c>
      <c r="H21" s="4">
        <f t="shared" si="23"/>
        <v>31.75</v>
      </c>
      <c r="I21" s="4">
        <f t="shared" si="23"/>
        <v>30.55</v>
      </c>
      <c r="J21" s="4">
        <f t="shared" si="23"/>
        <v>30.25</v>
      </c>
      <c r="K21" s="4">
        <f t="shared" si="23"/>
        <v>32</v>
      </c>
      <c r="L21" s="4">
        <f t="shared" si="23"/>
        <v>40.6</v>
      </c>
      <c r="M21" s="4">
        <f t="shared" si="23"/>
        <v>41</v>
      </c>
      <c r="N21" s="4">
        <f t="shared" si="23"/>
        <v>28</v>
      </c>
      <c r="O21" s="4">
        <f>MAX(O3:O15)</f>
        <v>28.5</v>
      </c>
      <c r="P21" s="4">
        <f t="shared" si="23"/>
        <v>54.5</v>
      </c>
      <c r="Q21" s="4">
        <f t="shared" si="23"/>
        <v>7.35</v>
      </c>
      <c r="R21" s="4">
        <f t="shared" si="23"/>
        <v>7.55</v>
      </c>
      <c r="S21" s="4">
        <f t="shared" si="23"/>
        <v>12</v>
      </c>
      <c r="T21" s="4">
        <f t="shared" si="23"/>
        <v>11</v>
      </c>
      <c r="U21" s="4">
        <f t="shared" si="23"/>
        <v>33.25</v>
      </c>
      <c r="V21" s="4">
        <f t="shared" si="23"/>
        <v>34</v>
      </c>
      <c r="W21" s="4">
        <f t="shared" si="23"/>
        <v>59</v>
      </c>
      <c r="X21" s="4">
        <f t="shared" si="23"/>
        <v>59</v>
      </c>
      <c r="Y21" s="4">
        <f>MAX(Y3:Y15)</f>
        <v>15.75</v>
      </c>
      <c r="Z21" s="4">
        <f t="shared" si="23"/>
        <v>16.75</v>
      </c>
      <c r="AA21" s="4">
        <f t="shared" si="23"/>
        <v>42</v>
      </c>
      <c r="AB21" s="10">
        <f t="shared" si="23"/>
        <v>6.7</v>
      </c>
      <c r="AC21" s="10">
        <f t="shared" si="23"/>
        <v>0.95</v>
      </c>
      <c r="AD21" s="6"/>
      <c r="AE21" s="6">
        <f t="shared" si="23"/>
        <v>7.6</v>
      </c>
      <c r="AF21" s="6">
        <f t="shared" si="23"/>
        <v>1.0285714285714285</v>
      </c>
    </row>
    <row r="23" spans="1:41" x14ac:dyDescent="0.2">
      <c r="A23" s="1"/>
    </row>
    <row r="24" spans="1:41" x14ac:dyDescent="0.2">
      <c r="A24" s="2" t="s">
        <v>52</v>
      </c>
      <c r="B24">
        <f>2000+3/12+(21/31/12)</f>
        <v>2000.3064516129032</v>
      </c>
      <c r="C24">
        <f>2025.2-B24</f>
        <v>24.893548387096871</v>
      </c>
      <c r="D24" t="s">
        <v>8</v>
      </c>
      <c r="E24">
        <v>169</v>
      </c>
      <c r="F24">
        <v>52</v>
      </c>
      <c r="H24">
        <v>27</v>
      </c>
      <c r="I24">
        <v>27</v>
      </c>
      <c r="J24">
        <v>24.5</v>
      </c>
      <c r="K24">
        <v>24</v>
      </c>
      <c r="L24">
        <v>25</v>
      </c>
      <c r="M24">
        <v>25</v>
      </c>
      <c r="N24">
        <v>21.5</v>
      </c>
      <c r="O24">
        <v>21.5</v>
      </c>
      <c r="P24">
        <v>41</v>
      </c>
      <c r="Q24">
        <v>6.15</v>
      </c>
      <c r="R24">
        <v>6.2</v>
      </c>
      <c r="S24">
        <v>9.5</v>
      </c>
      <c r="T24">
        <v>9.5</v>
      </c>
      <c r="U24">
        <v>25</v>
      </c>
      <c r="V24">
        <v>24.5</v>
      </c>
      <c r="W24">
        <v>54</v>
      </c>
      <c r="X24">
        <v>53.5</v>
      </c>
      <c r="Y24">
        <v>13.5</v>
      </c>
      <c r="Z24">
        <v>12.5</v>
      </c>
      <c r="AA24">
        <v>41</v>
      </c>
      <c r="AB24">
        <f>(2.6+2.75+2.8)/3</f>
        <v>2.7166666666666663</v>
      </c>
      <c r="AC24">
        <f>0.38</f>
        <v>0.38</v>
      </c>
      <c r="AD24" t="s">
        <v>36</v>
      </c>
      <c r="AE24">
        <f>100*AB24/F24</f>
        <v>5.2243589743589736</v>
      </c>
      <c r="AF24">
        <f>100*AC24/F24</f>
        <v>0.73076923076923073</v>
      </c>
    </row>
    <row r="25" spans="1:41" x14ac:dyDescent="0.2">
      <c r="A25" s="7" t="s">
        <v>79</v>
      </c>
      <c r="B25">
        <f>2000+8/12</f>
        <v>2000.6666666666667</v>
      </c>
      <c r="C25">
        <f>2025.2-B25</f>
        <v>24.533333333333303</v>
      </c>
      <c r="D25" t="s">
        <v>8</v>
      </c>
      <c r="E25">
        <v>165</v>
      </c>
      <c r="F25">
        <f>155/2.2</f>
        <v>70.454545454545453</v>
      </c>
      <c r="H25">
        <v>25</v>
      </c>
      <c r="I25">
        <v>26</v>
      </c>
      <c r="J25">
        <v>22</v>
      </c>
      <c r="K25">
        <v>22</v>
      </c>
      <c r="L25">
        <v>30.5</v>
      </c>
      <c r="M25">
        <v>30</v>
      </c>
      <c r="N25">
        <v>23</v>
      </c>
      <c r="O25">
        <v>23</v>
      </c>
      <c r="P25">
        <v>44</v>
      </c>
      <c r="Q25">
        <v>5.65</v>
      </c>
      <c r="R25">
        <v>5.75</v>
      </c>
      <c r="S25">
        <v>10</v>
      </c>
      <c r="T25">
        <v>10</v>
      </c>
      <c r="U25">
        <v>26</v>
      </c>
      <c r="V25">
        <v>26</v>
      </c>
      <c r="W25">
        <v>53</v>
      </c>
      <c r="X25">
        <v>52</v>
      </c>
      <c r="Y25">
        <v>9.5</v>
      </c>
      <c r="Z25">
        <v>10</v>
      </c>
      <c r="AA25">
        <v>41</v>
      </c>
      <c r="AB25" s="2">
        <v>3.3</v>
      </c>
      <c r="AC25" s="2">
        <v>0.7</v>
      </c>
      <c r="AD25" t="s">
        <v>36</v>
      </c>
      <c r="AE25">
        <f>100*AB25/F25</f>
        <v>4.6838709677419352</v>
      </c>
      <c r="AF25">
        <f>100*AC25/F25</f>
        <v>0.99354838709677418</v>
      </c>
      <c r="AH25">
        <v>62</v>
      </c>
      <c r="AI25">
        <v>66</v>
      </c>
      <c r="AJ25">
        <v>67</v>
      </c>
      <c r="AK25" t="s">
        <v>80</v>
      </c>
      <c r="AL25" t="s">
        <v>81</v>
      </c>
      <c r="AM25" t="s">
        <v>74</v>
      </c>
      <c r="AN25" t="s">
        <v>82</v>
      </c>
      <c r="AO25" t="s">
        <v>83</v>
      </c>
    </row>
    <row r="26" spans="1:41" x14ac:dyDescent="0.2">
      <c r="A26" s="7" t="s">
        <v>78</v>
      </c>
      <c r="B26" s="8">
        <f>2001 + 1.5/12</f>
        <v>2001.125</v>
      </c>
      <c r="C26">
        <f>2025.2-B26</f>
        <v>24.075000000000045</v>
      </c>
      <c r="D26" t="s">
        <v>8</v>
      </c>
      <c r="E26">
        <v>175</v>
      </c>
      <c r="F26">
        <v>72</v>
      </c>
      <c r="H26">
        <v>27</v>
      </c>
      <c r="I26" s="2">
        <v>27.5</v>
      </c>
      <c r="J26">
        <v>24.75</v>
      </c>
      <c r="K26" s="2">
        <v>24.75</v>
      </c>
      <c r="L26">
        <v>32</v>
      </c>
      <c r="M26">
        <v>32.5</v>
      </c>
      <c r="N26">
        <v>22.5</v>
      </c>
      <c r="O26">
        <v>22.75</v>
      </c>
      <c r="P26">
        <v>46.5</v>
      </c>
      <c r="Q26">
        <v>7.2</v>
      </c>
      <c r="R26" s="2">
        <v>7</v>
      </c>
      <c r="S26">
        <v>11.25</v>
      </c>
      <c r="T26">
        <v>10.5</v>
      </c>
      <c r="U26">
        <v>26.5</v>
      </c>
      <c r="V26">
        <v>26.5</v>
      </c>
      <c r="W26">
        <v>49.5</v>
      </c>
      <c r="X26">
        <v>48.5</v>
      </c>
      <c r="Y26">
        <v>13.5</v>
      </c>
      <c r="Z26">
        <v>12.5</v>
      </c>
      <c r="AA26">
        <v>40</v>
      </c>
      <c r="AB26" s="2">
        <v>2.85</v>
      </c>
      <c r="AC26" s="2">
        <v>0.47</v>
      </c>
      <c r="AD26" t="s">
        <v>38</v>
      </c>
      <c r="AE26">
        <f>100*AB26/F26</f>
        <v>3.9583333333333335</v>
      </c>
      <c r="AF26">
        <f>100*AC26/F26</f>
        <v>0.65277777777777779</v>
      </c>
      <c r="AH26">
        <v>53</v>
      </c>
      <c r="AI26">
        <v>50</v>
      </c>
      <c r="AJ26" t="s">
        <v>86</v>
      </c>
      <c r="AK26" t="s">
        <v>87</v>
      </c>
      <c r="AL26" t="s">
        <v>88</v>
      </c>
      <c r="AM26" t="s">
        <v>74</v>
      </c>
      <c r="AN26" t="s">
        <v>89</v>
      </c>
      <c r="AO26" t="s">
        <v>90</v>
      </c>
    </row>
    <row r="27" spans="1:41" x14ac:dyDescent="0.2">
      <c r="AG27" s="1"/>
      <c r="AH27" s="1"/>
      <c r="AI27" s="1"/>
      <c r="AJ27" s="1"/>
    </row>
    <row r="28" spans="1:41" x14ac:dyDescent="0.2">
      <c r="AG28" s="1"/>
      <c r="AH28" s="1"/>
      <c r="AI28" s="1"/>
      <c r="AJ28" s="1"/>
    </row>
    <row r="29" spans="1:41" x14ac:dyDescent="0.2">
      <c r="AG29" s="1"/>
      <c r="AH29" s="1"/>
      <c r="AI29" s="1"/>
      <c r="AJ2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1512 Raison,Maxime</dc:creator>
  <cp:lastModifiedBy>Antoine Guénette</cp:lastModifiedBy>
  <dcterms:created xsi:type="dcterms:W3CDTF">2025-03-06T23:15:30Z</dcterms:created>
  <dcterms:modified xsi:type="dcterms:W3CDTF">2026-03-09T21:16:44Z</dcterms:modified>
</cp:coreProperties>
</file>