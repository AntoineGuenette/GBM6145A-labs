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toineguenette/Desktop/Scolaire/Baccalauréat/Programmation/SH26/GBM6145A-labs/data_old/"/>
    </mc:Choice>
  </mc:AlternateContent>
  <xr:revisionPtr revIDLastSave="0" documentId="13_ncr:1_{239872D3-B38C-3540-B57D-F6C60570B688}" xr6:coauthVersionLast="47" xr6:coauthVersionMax="47" xr10:uidLastSave="{00000000-0000-0000-0000-000000000000}"/>
  <bookViews>
    <workbookView xWindow="0" yWindow="660" windowWidth="29400" windowHeight="18460" xr2:uid="{EAEFBA44-36ED-A94D-9173-71D26F0B69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F6" i="1"/>
  <c r="AF6" i="1" s="1"/>
  <c r="B6" i="1"/>
  <c r="C6" i="1" s="1"/>
  <c r="AE3" i="1"/>
  <c r="AF4" i="1"/>
  <c r="AF5" i="1"/>
  <c r="AF3" i="1"/>
  <c r="AE4" i="1"/>
  <c r="AE5" i="1"/>
  <c r="B5" i="1"/>
  <c r="C5" i="1" s="1"/>
  <c r="B4" i="1"/>
  <c r="C4" i="1" s="1"/>
  <c r="AE6" i="1" l="1"/>
  <c r="C3" i="1"/>
</calcChain>
</file>

<file path=xl/sharedStrings.xml><?xml version="1.0" encoding="utf-8"?>
<sst xmlns="http://schemas.openxmlformats.org/spreadsheetml/2006/main" count="56" uniqueCount="50">
  <si>
    <t>Genre</t>
  </si>
  <si>
    <t>Code</t>
  </si>
  <si>
    <t>Naissance</t>
  </si>
  <si>
    <t>Taille (cm)</t>
  </si>
  <si>
    <t>Masse (kg)</t>
  </si>
  <si>
    <t>Age (ans)</t>
  </si>
  <si>
    <t>F</t>
  </si>
  <si>
    <t>Commentaires</t>
  </si>
  <si>
    <t>Left Mid-Arm Width</t>
  </si>
  <si>
    <t>Right Mid-Arm Width</t>
  </si>
  <si>
    <t>Left Hum Length</t>
  </si>
  <si>
    <t>Right Hum Lenght</t>
  </si>
  <si>
    <t>Left For Lenght</t>
  </si>
  <si>
    <t>Right For Length</t>
  </si>
  <si>
    <t>Left Mid-For Width</t>
  </si>
  <si>
    <t>Right Mid-For Width</t>
  </si>
  <si>
    <t>Sho-Sho Ext Length</t>
  </si>
  <si>
    <t>Left Elb Width</t>
  </si>
  <si>
    <t>Right Elb Width</t>
  </si>
  <si>
    <t>Left Spi to Sca</t>
  </si>
  <si>
    <t>Right Spi to Sca</t>
  </si>
  <si>
    <t>Left Spi to Sho</t>
  </si>
  <si>
    <t>Right Spi to Sho</t>
  </si>
  <si>
    <t>Left Sho Height</t>
  </si>
  <si>
    <t>Right Sho Height</t>
  </si>
  <si>
    <t>Left Sho to back poles</t>
  </si>
  <si>
    <t>Right Sho to back poles</t>
  </si>
  <si>
    <t>chair back ext width</t>
  </si>
  <si>
    <t>Arm+For Weight</t>
  </si>
  <si>
    <t>For Weight</t>
  </si>
  <si>
    <t>Dominant Limb</t>
  </si>
  <si>
    <t>Right</t>
  </si>
  <si>
    <t>MA/MTOT (%)</t>
  </si>
  <si>
    <t>MF/MTOT (%)</t>
  </si>
  <si>
    <t>1_SCHP FAIT</t>
  </si>
  <si>
    <t>5_ROSA FAIT</t>
  </si>
  <si>
    <t>3_MICA FAIT</t>
  </si>
  <si>
    <t>B&amp;B WoutOrth</t>
  </si>
  <si>
    <t>B&amp;B WithOrth</t>
  </si>
  <si>
    <t>Jamar WithOrth</t>
  </si>
  <si>
    <t>30.5_6.5_4.5_8.0</t>
  </si>
  <si>
    <t>34.0_7.0_5.0_5.0</t>
  </si>
  <si>
    <t>30.0_8.5_3.0_3.0_5.5</t>
  </si>
  <si>
    <t>Jamar WoutOrth (kg)</t>
  </si>
  <si>
    <t>34.0_7.0_5.0_5.7</t>
  </si>
  <si>
    <t>27.0_7.0_3.0_5.5</t>
  </si>
  <si>
    <t>32.5_7.25_2.5_5.0</t>
  </si>
  <si>
    <t>4_STAV FAIT - absence non justifiée</t>
  </si>
  <si>
    <t>32.0_7.0_3.0_3.5</t>
  </si>
  <si>
    <t>35.0_7.5_4.0_3.5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</si>
</sst>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2" fillId="2" borderId="0" xfId="0" applyFont="1" applyFill="1"/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F5F-DD01-4F4D-AD36-76A6C49244A0}">
  <dimension ref="A2:AK9"/>
  <sheetViews>
    <sheetView tabSelected="1" topLeftCell="AD1" zoomScale="125" zoomScaleNormal="253" workbookViewId="0">
      <selection activeCell="AN13" sqref="AN13"/>
    </sheetView>
  </sheetViews>
  <sheetFormatPr baseColWidth="10" defaultRowHeight="16" x14ac:dyDescent="0.2"/>
  <cols>
    <col min="1" max="1" width="25.83203125" customWidth="1"/>
    <col min="2" max="2" width="16.33203125" customWidth="1"/>
    <col min="3" max="3" width="8.6640625" customWidth="1"/>
    <col min="4" max="4" width="6" customWidth="1"/>
    <col min="5" max="5" width="9.5" customWidth="1"/>
    <col min="6" max="6" width="9.83203125" customWidth="1"/>
    <col min="7" max="7" width="13.6640625" customWidth="1"/>
    <col min="8" max="8" width="14.83203125" bestFit="1" customWidth="1"/>
    <col min="9" max="9" width="15.83203125" bestFit="1" customWidth="1"/>
    <col min="10" max="10" width="13.5" bestFit="1" customWidth="1"/>
    <col min="11" max="11" width="14.5" bestFit="1" customWidth="1"/>
    <col min="12" max="12" width="17.33203125" bestFit="1" customWidth="1"/>
    <col min="13" max="13" width="18.5" bestFit="1" customWidth="1"/>
    <col min="14" max="14" width="16.5" bestFit="1" customWidth="1"/>
    <col min="15" max="15" width="17.83203125" bestFit="1" customWidth="1"/>
    <col min="16" max="16" width="17.33203125" bestFit="1" customWidth="1"/>
    <col min="17" max="17" width="12.83203125" bestFit="1" customWidth="1"/>
    <col min="18" max="18" width="13.83203125" bestFit="1" customWidth="1"/>
    <col min="19" max="19" width="12.83203125" bestFit="1" customWidth="1"/>
    <col min="20" max="20" width="13.83203125" bestFit="1" customWidth="1"/>
    <col min="21" max="21" width="13.1640625" bestFit="1" customWidth="1"/>
    <col min="22" max="22" width="14.1640625" bestFit="1" customWidth="1"/>
    <col min="23" max="23" width="13.83203125" bestFit="1" customWidth="1"/>
    <col min="24" max="24" width="15" bestFit="1" customWidth="1"/>
    <col min="25" max="25" width="19.5" bestFit="1" customWidth="1"/>
    <col min="26" max="26" width="20.5" bestFit="1" customWidth="1"/>
    <col min="27" max="27" width="17.6640625" bestFit="1" customWidth="1"/>
    <col min="28" max="28" width="14.5" customWidth="1"/>
    <col min="29" max="29" width="12.6640625" bestFit="1" customWidth="1"/>
    <col min="30" max="30" width="13.83203125" bestFit="1" customWidth="1"/>
    <col min="31" max="32" width="12.6640625" bestFit="1" customWidth="1"/>
    <col min="34" max="34" width="12.5" customWidth="1"/>
    <col min="35" max="35" width="11.83203125" customWidth="1"/>
    <col min="36" max="36" width="16.6640625" customWidth="1"/>
    <col min="37" max="37" width="17.33203125" customWidth="1"/>
  </cols>
  <sheetData>
    <row r="2" spans="1:37" x14ac:dyDescent="0.2">
      <c r="A2" s="1" t="s">
        <v>1</v>
      </c>
      <c r="B2" s="1" t="s">
        <v>2</v>
      </c>
      <c r="C2" s="1" t="s">
        <v>5</v>
      </c>
      <c r="D2" s="1" t="s">
        <v>0</v>
      </c>
      <c r="E2" s="1" t="s">
        <v>3</v>
      </c>
      <c r="F2" s="1" t="s">
        <v>4</v>
      </c>
      <c r="G2" s="1" t="s">
        <v>7</v>
      </c>
      <c r="H2" s="1" t="s">
        <v>10</v>
      </c>
      <c r="I2" s="5" t="s">
        <v>11</v>
      </c>
      <c r="J2" s="1" t="s">
        <v>12</v>
      </c>
      <c r="K2" s="5" t="s">
        <v>13</v>
      </c>
      <c r="L2" s="1" t="s">
        <v>8</v>
      </c>
      <c r="M2" s="5" t="s">
        <v>9</v>
      </c>
      <c r="N2" s="1" t="s">
        <v>14</v>
      </c>
      <c r="O2" s="5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32</v>
      </c>
      <c r="AF2" s="1" t="s">
        <v>33</v>
      </c>
      <c r="AG2" s="1"/>
      <c r="AH2" s="1" t="s">
        <v>37</v>
      </c>
      <c r="AI2" s="1" t="s">
        <v>38</v>
      </c>
      <c r="AJ2" s="1" t="s">
        <v>43</v>
      </c>
      <c r="AK2" s="1" t="s">
        <v>39</v>
      </c>
    </row>
    <row r="3" spans="1:37" x14ac:dyDescent="0.2">
      <c r="A3" s="2" t="s">
        <v>34</v>
      </c>
      <c r="B3">
        <f>2002 + 5/12</f>
        <v>2002.4166666666667</v>
      </c>
      <c r="C3">
        <f>2025.2-B3</f>
        <v>22.783333333333303</v>
      </c>
      <c r="D3" t="s">
        <v>6</v>
      </c>
      <c r="E3">
        <v>165</v>
      </c>
      <c r="F3">
        <v>59</v>
      </c>
      <c r="H3">
        <v>26</v>
      </c>
      <c r="I3" s="2">
        <v>26.6</v>
      </c>
      <c r="J3">
        <v>22</v>
      </c>
      <c r="K3" s="2">
        <v>22.75</v>
      </c>
      <c r="L3" s="2">
        <v>25.5</v>
      </c>
      <c r="M3" s="2">
        <v>26</v>
      </c>
      <c r="N3" s="2">
        <v>19.5</v>
      </c>
      <c r="O3" s="2">
        <v>20.25</v>
      </c>
      <c r="P3" s="2">
        <v>38</v>
      </c>
      <c r="Q3" s="2">
        <v>5.7</v>
      </c>
      <c r="R3" s="2">
        <v>5.45</v>
      </c>
      <c r="S3" s="2">
        <v>7.25</v>
      </c>
      <c r="T3" s="2">
        <v>8</v>
      </c>
      <c r="U3" s="2">
        <v>20.5</v>
      </c>
      <c r="V3" s="2">
        <v>20.25</v>
      </c>
      <c r="W3">
        <v>53.75</v>
      </c>
      <c r="X3">
        <v>53.25</v>
      </c>
      <c r="Y3">
        <v>11</v>
      </c>
      <c r="Z3">
        <v>13</v>
      </c>
      <c r="AA3">
        <v>42</v>
      </c>
      <c r="AB3" s="2">
        <v>2.8</v>
      </c>
      <c r="AC3" s="2">
        <v>0.5</v>
      </c>
      <c r="AD3" t="s">
        <v>31</v>
      </c>
      <c r="AE3" t="e">
        <f>#REF!</f>
        <v>#REF!</v>
      </c>
      <c r="AF3">
        <f>100*AC3/F3</f>
        <v>0.84745762711864403</v>
      </c>
      <c r="AH3">
        <v>57</v>
      </c>
      <c r="AI3">
        <v>55</v>
      </c>
      <c r="AJ3" t="s">
        <v>40</v>
      </c>
      <c r="AK3" t="s">
        <v>41</v>
      </c>
    </row>
    <row r="4" spans="1:37" x14ac:dyDescent="0.2">
      <c r="A4" s="2" t="s">
        <v>36</v>
      </c>
      <c r="B4">
        <f>2001+2/12</f>
        <v>2001.1666666666667</v>
      </c>
      <c r="C4">
        <f t="shared" ref="C4:C5" si="0">2025.2-B4</f>
        <v>24.033333333333303</v>
      </c>
      <c r="D4" t="s">
        <v>6</v>
      </c>
      <c r="E4">
        <v>171</v>
      </c>
      <c r="F4">
        <v>57</v>
      </c>
      <c r="H4">
        <v>27.75</v>
      </c>
      <c r="I4" s="2">
        <v>28.1</v>
      </c>
      <c r="J4">
        <v>23.5</v>
      </c>
      <c r="K4" s="2">
        <v>23.7</v>
      </c>
      <c r="L4" s="2">
        <v>23.75</v>
      </c>
      <c r="M4" s="2">
        <v>24.8</v>
      </c>
      <c r="N4" s="2">
        <v>23.75</v>
      </c>
      <c r="O4" s="2">
        <v>24.8</v>
      </c>
      <c r="P4" s="2">
        <v>39</v>
      </c>
      <c r="Q4" s="2">
        <v>5.95</v>
      </c>
      <c r="R4" s="2">
        <v>5.85</v>
      </c>
      <c r="S4" s="2">
        <v>8.0500000000000007</v>
      </c>
      <c r="T4" s="2">
        <v>7.85</v>
      </c>
      <c r="U4" s="2">
        <v>26.75</v>
      </c>
      <c r="V4" s="2">
        <v>26.5</v>
      </c>
      <c r="W4">
        <v>56.6</v>
      </c>
      <c r="X4">
        <v>54.25</v>
      </c>
      <c r="Y4">
        <v>8.25</v>
      </c>
      <c r="Z4">
        <v>12</v>
      </c>
      <c r="AA4">
        <v>39</v>
      </c>
      <c r="AB4" s="2">
        <v>2.65</v>
      </c>
      <c r="AC4" s="2">
        <v>0.5</v>
      </c>
      <c r="AD4" t="s">
        <v>31</v>
      </c>
      <c r="AE4">
        <f t="shared" ref="AE4:AE5" si="1">100*AB4/F4</f>
        <v>4.6491228070175437</v>
      </c>
      <c r="AF4">
        <f t="shared" ref="AF4:AF5" si="2">100*AC4/F4</f>
        <v>0.8771929824561403</v>
      </c>
      <c r="AH4">
        <v>68</v>
      </c>
      <c r="AI4">
        <v>63</v>
      </c>
      <c r="AJ4" t="s">
        <v>44</v>
      </c>
      <c r="AK4" t="s">
        <v>46</v>
      </c>
    </row>
    <row r="5" spans="1:37" ht="15" customHeight="1" x14ac:dyDescent="0.2">
      <c r="A5" s="2" t="s">
        <v>35</v>
      </c>
      <c r="B5">
        <f>2001+6.5/12</f>
        <v>2001.5416666666667</v>
      </c>
      <c r="C5">
        <f t="shared" si="0"/>
        <v>23.658333333333303</v>
      </c>
      <c r="D5" t="s">
        <v>6</v>
      </c>
      <c r="E5">
        <v>158</v>
      </c>
      <c r="F5">
        <v>52</v>
      </c>
      <c r="H5">
        <v>25.5</v>
      </c>
      <c r="I5" s="2">
        <v>25.5</v>
      </c>
      <c r="J5">
        <v>21</v>
      </c>
      <c r="K5" s="2">
        <v>23</v>
      </c>
      <c r="L5" s="2">
        <v>26.5</v>
      </c>
      <c r="M5" s="2">
        <v>27.5</v>
      </c>
      <c r="N5" s="2">
        <v>20.75</v>
      </c>
      <c r="O5" s="2">
        <v>21.5</v>
      </c>
      <c r="P5" s="2">
        <v>44</v>
      </c>
      <c r="Q5" s="2">
        <v>5.95</v>
      </c>
      <c r="R5" s="2">
        <v>5.85</v>
      </c>
      <c r="S5" s="2">
        <v>8.5</v>
      </c>
      <c r="T5" s="2">
        <v>9</v>
      </c>
      <c r="U5" s="2">
        <v>29</v>
      </c>
      <c r="V5" s="2">
        <v>27</v>
      </c>
      <c r="W5">
        <v>47</v>
      </c>
      <c r="X5">
        <v>46</v>
      </c>
      <c r="Y5">
        <v>10.5</v>
      </c>
      <c r="Z5">
        <v>10</v>
      </c>
      <c r="AA5">
        <v>41</v>
      </c>
      <c r="AB5" s="3">
        <v>3.55</v>
      </c>
      <c r="AC5" s="2">
        <v>0.45</v>
      </c>
      <c r="AD5" t="s">
        <v>31</v>
      </c>
      <c r="AE5">
        <f t="shared" si="1"/>
        <v>6.8269230769230766</v>
      </c>
      <c r="AF5">
        <f t="shared" si="2"/>
        <v>0.86538461538461542</v>
      </c>
      <c r="AH5">
        <v>76</v>
      </c>
      <c r="AI5">
        <v>71</v>
      </c>
      <c r="AJ5" t="s">
        <v>45</v>
      </c>
      <c r="AK5" t="s">
        <v>42</v>
      </c>
    </row>
    <row r="6" spans="1:37" x14ac:dyDescent="0.2">
      <c r="A6" s="4" t="s">
        <v>47</v>
      </c>
      <c r="B6">
        <f>2000+8/12</f>
        <v>2000.6666666666667</v>
      </c>
      <c r="C6">
        <f>2025.2-B6</f>
        <v>24.533333333333303</v>
      </c>
      <c r="D6" t="s">
        <v>6</v>
      </c>
      <c r="E6">
        <v>165</v>
      </c>
      <c r="F6">
        <f>155/2.2</f>
        <v>70.454545454545453</v>
      </c>
      <c r="H6">
        <v>25</v>
      </c>
      <c r="I6">
        <v>26</v>
      </c>
      <c r="J6">
        <v>22</v>
      </c>
      <c r="K6">
        <v>22</v>
      </c>
      <c r="L6">
        <v>30.5</v>
      </c>
      <c r="M6">
        <v>30</v>
      </c>
      <c r="N6">
        <v>23</v>
      </c>
      <c r="O6">
        <v>23</v>
      </c>
      <c r="P6">
        <v>44</v>
      </c>
      <c r="Q6">
        <v>5.65</v>
      </c>
      <c r="R6">
        <v>5.75</v>
      </c>
      <c r="S6">
        <v>10</v>
      </c>
      <c r="T6">
        <v>10</v>
      </c>
      <c r="U6">
        <v>26</v>
      </c>
      <c r="V6">
        <v>26</v>
      </c>
      <c r="W6">
        <v>53</v>
      </c>
      <c r="X6">
        <v>52</v>
      </c>
      <c r="Y6">
        <v>9.5</v>
      </c>
      <c r="Z6">
        <v>10</v>
      </c>
      <c r="AA6">
        <v>41</v>
      </c>
      <c r="AB6" s="2">
        <v>3.3</v>
      </c>
      <c r="AC6" s="2">
        <v>0.7</v>
      </c>
      <c r="AD6" t="s">
        <v>31</v>
      </c>
      <c r="AE6">
        <f>100*AB6/F6</f>
        <v>4.6838709677419352</v>
      </c>
      <c r="AF6">
        <f>100*AC6/F6</f>
        <v>0.99354838709677418</v>
      </c>
      <c r="AH6">
        <v>62</v>
      </c>
      <c r="AI6">
        <v>66</v>
      </c>
      <c r="AJ6" t="s">
        <v>48</v>
      </c>
      <c r="AK6" t="s">
        <v>49</v>
      </c>
    </row>
    <row r="7" spans="1:37" x14ac:dyDescent="0.2">
      <c r="AG7" s="1"/>
      <c r="AH7" s="1"/>
      <c r="AI7" s="1"/>
    </row>
    <row r="8" spans="1:37" x14ac:dyDescent="0.2">
      <c r="AG8" s="1"/>
      <c r="AH8" s="1"/>
      <c r="AI8" s="1"/>
    </row>
    <row r="9" spans="1:37" x14ac:dyDescent="0.2">
      <c r="AG9" s="1"/>
      <c r="AH9" s="1"/>
      <c r="AI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1512 Raison,Maxime</dc:creator>
  <cp:lastModifiedBy>Antoine Guénette</cp:lastModifiedBy>
  <dcterms:created xsi:type="dcterms:W3CDTF">2025-03-06T23:15:30Z</dcterms:created>
  <dcterms:modified xsi:type="dcterms:W3CDTF">2026-03-14T18:34:26Z</dcterms:modified>
</cp:coreProperties>
</file>